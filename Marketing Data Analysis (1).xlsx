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roduction\Downloads\"/>
    </mc:Choice>
  </mc:AlternateContent>
  <xr:revisionPtr revIDLastSave="0" documentId="13_ncr:1_{135478D1-354E-4D2E-A5A1-4B15005B45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pivotCaches>
    <pivotCache cacheId="0" r:id="rId2"/>
    <pivotCache cacheId="1" r:id="rId3"/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688e4167-27a4-4db5-812f-efbb89007434" name="data" connection="Query -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E362E0-A256-4EBC-A028-2BD0E701733F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f25133b2-d924-446d-a12f-7dae02d3498b"/>
      </ext>
    </extLst>
  </connection>
  <connection id="2" xr16:uid="{33018B5D-0220-47EC-A407-B1D90204248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<sst xmlns="http://schemas.openxmlformats.org/spreadsheetml/2006/main" count="31" uniqueCount="17">
  <si>
    <t>Email</t>
  </si>
  <si>
    <t>Facebook Ads</t>
  </si>
  <si>
    <t>Google Ads</t>
  </si>
  <si>
    <t>Instagram</t>
  </si>
  <si>
    <t>LinkedIn</t>
  </si>
  <si>
    <t>Total Revenue</t>
  </si>
  <si>
    <t>ROI</t>
  </si>
  <si>
    <t>Brand Awareness</t>
  </si>
  <si>
    <t>Lead Gen</t>
  </si>
  <si>
    <t>Retargeting</t>
  </si>
  <si>
    <t xml:space="preserve"> Conversion Rate</t>
  </si>
  <si>
    <t>Total Ad Spend</t>
  </si>
  <si>
    <t>Campaign Type</t>
  </si>
  <si>
    <t xml:space="preserve">Marketing Channel </t>
  </si>
  <si>
    <t>Performance Marketing Data Analysis</t>
  </si>
  <si>
    <t>Lowest</t>
  </si>
  <si>
    <t>Marketing team should allocate More Budget Towards -  On Email marketing Channel as it has the Highest ROI and lowest Ad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</si>
</sst>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0.00%;\-0.00%;0.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sz val="11"/>
      <color theme="0"/>
      <name val="Aptos Display"/>
      <family val="2"/>
    </font>
    <font>
      <b/>
      <i/>
      <sz val="14"/>
      <color theme="0"/>
      <name val="Aptos Display"/>
      <family val="2"/>
    </font>
    <font>
      <i/>
      <sz val="11"/>
      <color theme="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2" fillId="2" borderId="1" xfId="0" applyFont="1" applyFill="1" applyBorder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2" fontId="1" fillId="0" borderId="1" xfId="0" applyNumberFormat="1" applyFont="1" applyBorder="1"/>
    <xf numFmtId="165" fontId="1" fillId="0" borderId="1" xfId="0" applyNumberFormat="1" applyFont="1" applyBorder="1"/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61"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color theme="0"/>
      </font>
    </dxf>
    <dxf>
      <font>
        <color theme="0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theme="1" tint="4.9989318521683403E-2"/>
      </font>
    </dxf>
    <dxf>
      <font>
        <color theme="0"/>
      </font>
    </dxf>
    <dxf>
      <font>
        <color theme="0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1"/>
      </font>
    </dxf>
    <dxf>
      <font>
        <color theme="0"/>
      </font>
    </dxf>
    <dxf>
      <numFmt numFmtId="164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accent4">
                    <a:lumMod val="50000"/>
                  </a:schemeClr>
                </a:solidFill>
              </a:rPr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accent4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Sheet1!$A$10:$A$14</c:f>
              <c:strCache>
                <c:ptCount val="5"/>
                <c:pt idx="0">
                  <c:v>Facebook Ads</c:v>
                </c:pt>
                <c:pt idx="1">
                  <c:v>Google Ads</c:v>
                </c:pt>
                <c:pt idx="2">
                  <c:v>Email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Sheet1!$B$10:$B$14</c:f>
              <c:numCache>
                <c:formatCode>"₹"\ #,##0</c:formatCode>
                <c:ptCount val="5"/>
                <c:pt idx="0">
                  <c:v>4492043</c:v>
                </c:pt>
                <c:pt idx="1">
                  <c:v>4203851</c:v>
                </c:pt>
                <c:pt idx="2">
                  <c:v>3161872</c:v>
                </c:pt>
                <c:pt idx="3">
                  <c:v>2708721</c:v>
                </c:pt>
                <c:pt idx="4">
                  <c:v>1987503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4-4E3D-9FBE-798D7198F9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1816415"/>
        <c:axId val="971819775"/>
      </c:barChart>
      <c:catAx>
        <c:axId val="97181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4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19775"/>
        <c:crosses val="autoZero"/>
        <c:auto val="1"/>
        <c:lblAlgn val="ctr"/>
        <c:lblOffset val="100"/>
        <c:noMultiLvlLbl val="0"/>
      </c:catAx>
      <c:valAx>
        <c:axId val="971819775"/>
        <c:scaling>
          <c:orientation val="minMax"/>
        </c:scaling>
        <c:delete val="1"/>
        <c:axPos val="l"/>
        <c:numFmt formatCode="&quot;₹&quot;\ #,##0" sourceLinked="1"/>
        <c:majorTickMark val="none"/>
        <c:minorTickMark val="none"/>
        <c:tickLblPos val="nextTo"/>
        <c:crossAx val="97181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Analysis.xlsx]Sheet1!PivotTable3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>
                <a:solidFill>
                  <a:schemeClr val="accent4">
                    <a:lumMod val="50000"/>
                  </a:schemeClr>
                </a:solidFill>
              </a:rPr>
              <a:t>ROI</a:t>
            </a:r>
          </a:p>
        </c:rich>
      </c:tx>
      <c:layout>
        <c:manualLayout>
          <c:xMode val="edge"/>
          <c:yMode val="edge"/>
          <c:x val="0.4602572975982443"/>
          <c:y val="9.7859308365853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accent4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15875">
              <a:solidFill>
                <a:schemeClr val="accent4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Sheet1!$F$9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587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strRef>
              <c:f>Sheet1!$E$10:$E$14</c:f>
              <c:strCache>
                <c:ptCount val="5"/>
                <c:pt idx="0">
                  <c:v>Email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Sheet1!$F$10:$F$14</c:f>
              <c:numCache>
                <c:formatCode>0.00</c:formatCode>
                <c:ptCount val="5"/>
                <c:pt idx="0">
                  <c:v>15.587565642099078</c:v>
                </c:pt>
                <c:pt idx="1">
                  <c:v>6.1636345369357413</c:v>
                </c:pt>
                <c:pt idx="2">
                  <c:v>5.7516124783985711</c:v>
                </c:pt>
                <c:pt idx="3">
                  <c:v>5.1145633697897264</c:v>
                </c:pt>
                <c:pt idx="4">
                  <c:v>1.2796413140348846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C-4E66-80C0-B392B38CD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230687"/>
        <c:axId val="1398233567"/>
      </c:lineChart>
      <c:catAx>
        <c:axId val="139823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233567"/>
        <c:crosses val="autoZero"/>
        <c:auto val="1"/>
        <c:lblAlgn val="ctr"/>
        <c:lblOffset val="100"/>
        <c:noMultiLvlLbl val="0"/>
      </c:catAx>
      <c:valAx>
        <c:axId val="139823356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39823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Analysis.xlsx]Sheet1!PivotTable4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accent4">
                    <a:lumMod val="50000"/>
                  </a:schemeClr>
                </a:solidFill>
              </a:rPr>
              <a:t>Conversions Rate </a:t>
            </a:r>
          </a:p>
        </c:rich>
      </c:tx>
      <c:layout>
        <c:manualLayout>
          <c:xMode val="edge"/>
          <c:yMode val="edge"/>
          <c:x val="0.22918663317219395"/>
          <c:y val="4.3875710821063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accent4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7.80012636818899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790884718498661E-2"/>
              <c:y val="-4.87507898011812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6514745308310987E-2"/>
              <c:y val="-1.46252369403543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CB5-48A2-B640-1A2B7EE1D88B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CB5-48A2-B640-1A2B7EE1D88B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B5-48A2-B640-1A2B7EE1D88B}"/>
              </c:ext>
            </c:extLst>
          </c:dPt>
          <c:dLbls>
            <c:dLbl>
              <c:idx val="0"/>
              <c:layout>
                <c:manualLayout>
                  <c:x val="9.6514745308310987E-2"/>
                  <c:y val="-1.4625236940354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B5-48A2-B640-1A2B7EE1D88B}"/>
                </c:ext>
              </c:extLst>
            </c:dLbl>
            <c:dLbl>
              <c:idx val="1"/>
              <c:layout>
                <c:manualLayout>
                  <c:x val="0"/>
                  <c:y val="7.8001263681889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B5-48A2-B640-1A2B7EE1D88B}"/>
                </c:ext>
              </c:extLst>
            </c:dLbl>
            <c:dLbl>
              <c:idx val="2"/>
              <c:layout>
                <c:manualLayout>
                  <c:x val="-8.5790884718498661E-2"/>
                  <c:y val="-4.8750789801181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B5-48A2-B640-1A2B7EE1D8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Sheet1!$A$22:$A$24</c:f>
              <c:strCache>
                <c:ptCount val="3"/>
                <c:pt idx="0">
                  <c:v>Retargeting</c:v>
                </c:pt>
                <c:pt idx="1">
                  <c:v>Brand Awareness</c:v>
                </c:pt>
                <c:pt idx="2">
                  <c:v>Lead Gen</c:v>
                </c:pt>
              </c:strCache>
            </c:strRef>
          </c:cat>
          <c:val>
            <c:numRef>
              <c:f>Sheet1!$B$22:$B$24</c:f>
              <c:numCache>
                <c:formatCode>0.00%;\-0.00%;0.00%</c:formatCode>
                <c:ptCount val="3"/>
                <c:pt idx="0">
                  <c:v>0.18395090053917632</c:v>
                </c:pt>
                <c:pt idx="1">
                  <c:v>0.1774443141852286</c:v>
                </c:pt>
                <c:pt idx="2">
                  <c:v>0.17162954279015241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5-48A2-B640-1A2B7EE1D8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114299</xdr:rowOff>
    </xdr:from>
    <xdr:to>
      <xdr:col>3</xdr:col>
      <xdr:colOff>466725</xdr:colOff>
      <xdr:row>18</xdr:row>
      <xdr:rowOff>128586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77B7B-9D9D-4B96-FB02-0967E2EBA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490536</xdr:colOff>
      <xdr:row>4</xdr:row>
      <xdr:rowOff>90487</xdr:rowOff>
    </xdr:from>
    <xdr:to>
      <xdr:col>8</xdr:col>
      <xdr:colOff>123825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D62766-2E71-1F01-F27A-8A945DCB9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28575</xdr:rowOff>
    </xdr:from>
    <xdr:to>
      <xdr:col>3</xdr:col>
      <xdr:colOff>466725</xdr:colOff>
      <xdr:row>30</xdr:row>
      <xdr:rowOff>147636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E39355-FECA-1470-152A-BC44A5B3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duction" refreshedDate="46099.541127777775" backgroundQuery="1" createdVersion="8" refreshedVersion="8" minRefreshableVersion="3" recordCount="0" supportSubquery="1" supportAdvancedDrill="1" xr:uid="{C290629E-29E3-49CE-8BBB-87DF0A5E07DD}">
  <cacheSource type="external" connectionId="2"/>
  <cacheFields count="2">
    <cacheField name="[data].[campaign_type].[campaign_type]" caption="campaign_type" numFmtId="0" hierarchy="2" level="1">
      <sharedItems count="3">
        <s v="Brand Awareness"/>
        <s v="Lead Gen"/>
        <s v="Retargeting"/>
      </sharedItems>
    </cacheField>
    <cacheField name="[Measures].[Total Conversion Rate]" caption="Total Conversion Rate" numFmtId="0" hierarchy="14" level="32767"/>
  </cacheFields>
  <cacheHierarchies count="17"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marketing_channel]" caption="marketing_channel" attribute="1" defaultMemberUniqueName="[data].[marketing_channel].[All]" allUniqueName="[data].[marketing_channel].[All]" dimensionUniqueName="[data]" displayFolder="" count="2" memberValueDatatype="130" unbalanced="0"/>
    <cacheHierarchy uniqueName="[data].[campaign_type]" caption="campaign_type" attribute="1" defaultMemberUniqueName="[data].[campaign_type].[All]" allUniqueName="[data].[campaign_type].[All]" dimensionUniqueName="[data]" displayFolder="" count="2" memberValueDatatype="130" unbalanced="0">
      <fieldsUsage count="2">
        <fieldUsage x="-1"/>
        <fieldUsage x="0"/>
      </fieldsUsage>
    </cacheHierarchy>
    <cacheHierarchy uniqueName="[data].[ad_spend_inr]" caption="ad_spend_inr" attribute="1" defaultMemberUniqueName="[data].[ad_spend_inr].[All]" allUniqueName="[data].[ad_spend_inr].[All]" dimensionUniqueName="[data]" displayFolder="" count="0" memberValueDatatype="20" unbalanced="0"/>
    <cacheHierarchy uniqueName="[data].[impressions]" caption="impressions" attribute="1" defaultMemberUniqueName="[data].[impressions].[All]" allUniqueName="[data].[impressions].[All]" dimensionUniqueName="[data]" displayFolder="" count="0" memberValueDatatype="20" unbalanced="0"/>
    <cacheHierarchy uniqueName="[data].[clicks]" caption="clicks" attribute="1" defaultMemberUniqueName="[data].[clicks].[All]" allUniqueName="[data].[clicks].[All]" dimensionUniqueName="[data]" displayFolder="" count="0" memberValueDatatype="20" unbalanced="0"/>
    <cacheHierarchy uniqueName="[data].[conversions]" caption="conversions" attribute="1" defaultMemberUniqueName="[data].[conversions].[All]" allUniqueName="[data].[conversions].[All]" dimensionUniqueName="[data]" displayFolder="" count="0" memberValueDatatype="20" unbalanced="0"/>
    <cacheHierarchy uniqueName="[data].[revenue_generated_inr]" caption="revenue_generated_inr" attribute="1" defaultMemberUniqueName="[data].[revenue_generated_inr].[All]" allUniqueName="[data].[revenue_generated_inr].[All]" dimensionUniqueName="[data]" displayFolder="" count="0" memberValueDatatype="20" unbalanced="0"/>
    <cacheHierarchy uniqueName="[Measures].[Total Revenue]" caption="Total Revenue" measure="1" displayFolder="" measureGroup="data" count="0"/>
    <cacheHierarchy uniqueName="[Measures].[Total Ad Spend]" caption="Total Ad Spend" measure="1" displayFolder="" measureGroup="data" count="0"/>
    <cacheHierarchy uniqueName="[Measures].[Total Revenue - Spend]" caption="Total Revenue - Spend" measure="1" displayFolder="" measureGroup="data" count="0"/>
    <cacheHierarchy uniqueName="[Measures].[ROI]" caption="ROI" measure="1" displayFolder="" measureGroup="data" count="0"/>
    <cacheHierarchy uniqueName="[Measures].[Total Conversion]" caption="Total Conversion" measure="1" displayFolder="" measureGroup="data" count="0"/>
    <cacheHierarchy uniqueName="[Measures].[Total Clicks]" caption="Total Clicks" measure="1" displayFolder="" measureGroup="data" count="0"/>
    <cacheHierarchy uniqueName="[Measures].[Total Conversion Rate]" caption="Total Conversion Rate" measure="1" displayFolder="" measureGroup="data" count="0" oneField="1">
      <fieldsUsage count="1">
        <fieldUsage x="1"/>
      </fieldsUsage>
    </cacheHierarchy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duction" refreshedDate="46099.542723032406" backgroundQuery="1" createdVersion="8" refreshedVersion="8" minRefreshableVersion="3" recordCount="0" supportSubquery="1" supportAdvancedDrill="1" xr:uid="{42F4EDEF-E7D4-4A5F-8168-313D24417DBD}">
  <cacheSource type="external" connectionId="2"/>
  <cacheFields count="4">
    <cacheField name="[data].[marketing_channel].[marketing_channel]" caption="marketing_channel" numFmtId="0" hierarchy="1" level="1">
      <sharedItems count="5">
        <s v="Email"/>
        <s v="Facebook Ads"/>
        <s v="Google Ads"/>
        <s v="Instagram"/>
        <s v="LinkedIn"/>
      </sharedItems>
    </cacheField>
    <cacheField name="[Measures].[Total Revenue]" caption="Total Revenue" numFmtId="0" hierarchy="8" level="32767"/>
    <cacheField name="[Measures].[Total Ad Spend]" caption="Total Ad Spend" numFmtId="0" hierarchy="9" level="32767"/>
    <cacheField name="[Measures].[ROI]" caption="ROI" numFmtId="0" hierarchy="11" level="32767"/>
  </cacheFields>
  <cacheHierarchies count="17"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marketing_channel]" caption="marketing_channel" attribute="1" defaultMemberUniqueName="[data].[marketing_channel].[All]" allUniqueName="[data].[marketing_channel].[All]" dimensionUniqueName="[data]" displayFolder="" count="2" memberValueDatatype="130" unbalanced="0">
      <fieldsUsage count="2">
        <fieldUsage x="-1"/>
        <fieldUsage x="0"/>
      </fieldsUsage>
    </cacheHierarchy>
    <cacheHierarchy uniqueName="[data].[campaign_type]" caption="campaign_type" attribute="1" defaultMemberUniqueName="[data].[campaign_type].[All]" allUniqueName="[data].[campaign_type].[All]" dimensionUniqueName="[data]" displayFolder="" count="2" memberValueDatatype="130" unbalanced="0"/>
    <cacheHierarchy uniqueName="[data].[ad_spend_inr]" caption="ad_spend_inr" attribute="1" defaultMemberUniqueName="[data].[ad_spend_inr].[All]" allUniqueName="[data].[ad_spend_inr].[All]" dimensionUniqueName="[data]" displayFolder="" count="0" memberValueDatatype="20" unbalanced="0"/>
    <cacheHierarchy uniqueName="[data].[impressions]" caption="impressions" attribute="1" defaultMemberUniqueName="[data].[impressions].[All]" allUniqueName="[data].[impressions].[All]" dimensionUniqueName="[data]" displayFolder="" count="0" memberValueDatatype="20" unbalanced="0"/>
    <cacheHierarchy uniqueName="[data].[clicks]" caption="clicks" attribute="1" defaultMemberUniqueName="[data].[clicks].[All]" allUniqueName="[data].[clicks].[All]" dimensionUniqueName="[data]" displayFolder="" count="0" memberValueDatatype="20" unbalanced="0"/>
    <cacheHierarchy uniqueName="[data].[conversions]" caption="conversions" attribute="1" defaultMemberUniqueName="[data].[conversions].[All]" allUniqueName="[data].[conversions].[All]" dimensionUniqueName="[data]" displayFolder="" count="0" memberValueDatatype="20" unbalanced="0"/>
    <cacheHierarchy uniqueName="[data].[revenue_generated_inr]" caption="revenue_generated_inr" attribute="1" defaultMemberUniqueName="[data].[revenue_generated_inr].[All]" allUniqueName="[data].[revenue_generated_inr].[All]" dimensionUniqueName="[data]" displayFolder="" count="0" memberValueDatatype="20" unbalanced="0"/>
    <cacheHierarchy uniqueName="[Measures].[Total Revenue]" caption="Total Revenue" measure="1" displayFolder="" measureGroup="data" count="0" oneField="1">
      <fieldsUsage count="1">
        <fieldUsage x="1"/>
      </fieldsUsage>
    </cacheHierarchy>
    <cacheHierarchy uniqueName="[Measures].[Total Ad Spend]" caption="Total Ad Spend" measure="1" displayFolder="" measureGroup="data" count="0" oneField="1">
      <fieldsUsage count="1">
        <fieldUsage x="2"/>
      </fieldsUsage>
    </cacheHierarchy>
    <cacheHierarchy uniqueName="[Measures].[Total Revenue - Spend]" caption="Total Revenue - Spend" measure="1" displayFolder="" measureGroup="data" count="0"/>
    <cacheHierarchy uniqueName="[Measures].[ROI]" caption="ROI" measure="1" displayFolder="" measureGroup="data" count="0" oneField="1">
      <fieldsUsage count="1">
        <fieldUsage x="3"/>
      </fieldsUsage>
    </cacheHierarchy>
    <cacheHierarchy uniqueName="[Measures].[Total Conversion]" caption="Total Conversion" measure="1" displayFolder="" measureGroup="data" count="0"/>
    <cacheHierarchy uniqueName="[Measures].[Total Clicks]" caption="Total Clicks" measure="1" displayFolder="" measureGroup="data" count="0"/>
    <cacheHierarchy uniqueName="[Measures].[Total Conversion Rate]" caption="Total Conversion Rate" measure="1" displayFolder="" measureGroup="data" count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duction" refreshedDate="46099.547059606484" backgroundQuery="1" createdVersion="8" refreshedVersion="8" minRefreshableVersion="3" recordCount="0" supportSubquery="1" supportAdvancedDrill="1" xr:uid="{AE80B4E2-B28E-4FFC-8F9B-EDD604901C52}">
  <cacheSource type="external" connectionId="2"/>
  <cacheFields count="2">
    <cacheField name="[data].[marketing_channel].[marketing_channel]" caption="marketing_channel" numFmtId="0" hierarchy="1" level="1">
      <sharedItems count="5">
        <s v="Email"/>
        <s v="Facebook Ads"/>
        <s v="Google Ads"/>
        <s v="Instagram"/>
        <s v="LinkedIn"/>
      </sharedItems>
    </cacheField>
    <cacheField name="[Measures].[Total Revenue]" caption="Total Revenue" numFmtId="0" hierarchy="8" level="32767"/>
  </cacheFields>
  <cacheHierarchies count="17"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marketing_channel]" caption="marketing_channel" attribute="1" defaultMemberUniqueName="[data].[marketing_channel].[All]" allUniqueName="[data].[marketing_channel].[All]" dimensionUniqueName="[data]" displayFolder="" count="2" memberValueDatatype="130" unbalanced="0">
      <fieldsUsage count="2">
        <fieldUsage x="-1"/>
        <fieldUsage x="0"/>
      </fieldsUsage>
    </cacheHierarchy>
    <cacheHierarchy uniqueName="[data].[campaign_type]" caption="campaign_type" attribute="1" defaultMemberUniqueName="[data].[campaign_type].[All]" allUniqueName="[data].[campaign_type].[All]" dimensionUniqueName="[data]" displayFolder="" count="0" memberValueDatatype="130" unbalanced="0"/>
    <cacheHierarchy uniqueName="[data].[ad_spend_inr]" caption="ad_spend_inr" attribute="1" defaultMemberUniqueName="[data].[ad_spend_inr].[All]" allUniqueName="[data].[ad_spend_inr].[All]" dimensionUniqueName="[data]" displayFolder="" count="0" memberValueDatatype="20" unbalanced="0"/>
    <cacheHierarchy uniqueName="[data].[impressions]" caption="impressions" attribute="1" defaultMemberUniqueName="[data].[impressions].[All]" allUniqueName="[data].[impressions].[All]" dimensionUniqueName="[data]" displayFolder="" count="0" memberValueDatatype="20" unbalanced="0"/>
    <cacheHierarchy uniqueName="[data].[clicks]" caption="clicks" attribute="1" defaultMemberUniqueName="[data].[clicks].[All]" allUniqueName="[data].[clicks].[All]" dimensionUniqueName="[data]" displayFolder="" count="0" memberValueDatatype="20" unbalanced="0"/>
    <cacheHierarchy uniqueName="[data].[conversions]" caption="conversions" attribute="1" defaultMemberUniqueName="[data].[conversions].[All]" allUniqueName="[data].[conversions].[All]" dimensionUniqueName="[data]" displayFolder="" count="0" memberValueDatatype="20" unbalanced="0"/>
    <cacheHierarchy uniqueName="[data].[revenue_generated_inr]" caption="revenue_generated_inr" attribute="1" defaultMemberUniqueName="[data].[revenue_generated_inr].[All]" allUniqueName="[data].[revenue_generated_inr].[All]" dimensionUniqueName="[data]" displayFolder="" count="0" memberValueDatatype="20" unbalanced="0"/>
    <cacheHierarchy uniqueName="[Measures].[Total Revenue]" caption="Total Revenue" measure="1" displayFolder="" measureGroup="data" count="0" oneField="1">
      <fieldsUsage count="1">
        <fieldUsage x="1"/>
      </fieldsUsage>
    </cacheHierarchy>
    <cacheHierarchy uniqueName="[Measures].[Total Ad Spend]" caption="Total Ad Spend" measure="1" displayFolder="" measureGroup="data" count="0"/>
    <cacheHierarchy uniqueName="[Measures].[Total Revenue - Spend]" caption="Total Revenue - Spend" measure="1" displayFolder="" measureGroup="data" count="0"/>
    <cacheHierarchy uniqueName="[Measures].[ROI]" caption="ROI" measure="1" displayFolder="" measureGroup="data" count="0"/>
    <cacheHierarchy uniqueName="[Measures].[Total Conversion]" caption="Total Conversion" measure="1" displayFolder="" measureGroup="data" count="0"/>
    <cacheHierarchy uniqueName="[Measures].[Total Clicks]" caption="Total Clicks" measure="1" displayFolder="" measureGroup="data" count="0"/>
    <cacheHierarchy uniqueName="[Measures].[Total Conversion Rate]" caption="Total Conversion Rate" measure="1" displayFolder="" measureGroup="data" count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duction" refreshedDate="46099.54771377315" backgroundQuery="1" createdVersion="8" refreshedVersion="8" minRefreshableVersion="3" recordCount="0" supportSubquery="1" supportAdvancedDrill="1" xr:uid="{A5438952-367D-44C1-9FD3-A893157DDE49}">
  <cacheSource type="external" connectionId="2"/>
  <cacheFields count="2">
    <cacheField name="[data].[marketing_channel].[marketing_channel]" caption="marketing_channel" numFmtId="0" hierarchy="1" level="1">
      <sharedItems count="5">
        <s v="Email"/>
        <s v="Facebook Ads"/>
        <s v="Google Ads"/>
        <s v="Instagram"/>
        <s v="LinkedIn"/>
      </sharedItems>
    </cacheField>
    <cacheField name="[Measures].[ROI]" caption="ROI" numFmtId="0" hierarchy="11" level="32767"/>
  </cacheFields>
  <cacheHierarchies count="17"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marketing_channel]" caption="marketing_channel" attribute="1" defaultMemberUniqueName="[data].[marketing_channel].[All]" allUniqueName="[data].[marketing_channel].[All]" dimensionUniqueName="[data]" displayFolder="" count="2" memberValueDatatype="130" unbalanced="0">
      <fieldsUsage count="2">
        <fieldUsage x="-1"/>
        <fieldUsage x="0"/>
      </fieldsUsage>
    </cacheHierarchy>
    <cacheHierarchy uniqueName="[data].[campaign_type]" caption="campaign_type" attribute="1" defaultMemberUniqueName="[data].[campaign_type].[All]" allUniqueName="[data].[campaign_type].[All]" dimensionUniqueName="[data]" displayFolder="" count="0" memberValueDatatype="130" unbalanced="0"/>
    <cacheHierarchy uniqueName="[data].[ad_spend_inr]" caption="ad_spend_inr" attribute="1" defaultMemberUniqueName="[data].[ad_spend_inr].[All]" allUniqueName="[data].[ad_spend_inr].[All]" dimensionUniqueName="[data]" displayFolder="" count="0" memberValueDatatype="20" unbalanced="0"/>
    <cacheHierarchy uniqueName="[data].[impressions]" caption="impressions" attribute="1" defaultMemberUniqueName="[data].[impressions].[All]" allUniqueName="[data].[impressions].[All]" dimensionUniqueName="[data]" displayFolder="" count="0" memberValueDatatype="20" unbalanced="0"/>
    <cacheHierarchy uniqueName="[data].[clicks]" caption="clicks" attribute="1" defaultMemberUniqueName="[data].[clicks].[All]" allUniqueName="[data].[clicks].[All]" dimensionUniqueName="[data]" displayFolder="" count="0" memberValueDatatype="20" unbalanced="0"/>
    <cacheHierarchy uniqueName="[data].[conversions]" caption="conversions" attribute="1" defaultMemberUniqueName="[data].[conversions].[All]" allUniqueName="[data].[conversions].[All]" dimensionUniqueName="[data]" displayFolder="" count="0" memberValueDatatype="20" unbalanced="0"/>
    <cacheHierarchy uniqueName="[data].[revenue_generated_inr]" caption="revenue_generated_inr" attribute="1" defaultMemberUniqueName="[data].[revenue_generated_inr].[All]" allUniqueName="[data].[revenue_generated_inr].[All]" dimensionUniqueName="[data]" displayFolder="" count="0" memberValueDatatype="20" unbalanced="0"/>
    <cacheHierarchy uniqueName="[Measures].[Total Revenue]" caption="Total Revenue" measure="1" displayFolder="" measureGroup="data" count="0"/>
    <cacheHierarchy uniqueName="[Measures].[Total Ad Spend]" caption="Total Ad Spend" measure="1" displayFolder="" measureGroup="data" count="0"/>
    <cacheHierarchy uniqueName="[Measures].[Total Revenue - Spend]" caption="Total Revenue - Spend" measure="1" displayFolder="" measureGroup="data" count="0"/>
    <cacheHierarchy uniqueName="[Measures].[ROI]" caption="ROI" measure="1" displayFolder="" measureGroup="data" count="0" oneField="1">
      <fieldsUsage count="1">
        <fieldUsage x="1"/>
      </fieldsUsage>
    </cacheHierarchy>
    <cacheHierarchy uniqueName="[Measures].[Total Conversion]" caption="Total Conversion" measure="1" displayFolder="" measureGroup="data" count="0"/>
    <cacheHierarchy uniqueName="[Measures].[Total Clicks]" caption="Total Clicks" measure="1" displayFolder="" measureGroup="data" count="0"/>
    <cacheHierarchy uniqueName="[Measures].[Total Conversion Rate]" caption="Total Conversion Rate" measure="1" displayFolder="" measureGroup="data" count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38E21-C7CE-4602-A13D-AF09BAA240D7}" name="PivotTable4" cacheId="0" applyNumberFormats="0" applyBorderFormats="0" applyFontFormats="0" applyPatternFormats="0" applyAlignmentFormats="0" applyWidthHeightFormats="1" dataCaption="Values" tag="9d2bfd8a-5161-4e31-a9a0-b8fd97f945ec" updatedVersion="8" minRefreshableVersion="3" useAutoFormatting="1" subtotalHiddenItems="1" rowGrandTotals="0" colGrandTotals="0" itemPrintTitles="1" createdVersion="8" indent="0" outline="1" outlineData="1" multipleFieldFilters="0" chartFormat="5" rowHeaderCaption="Campaign Type">
  <location ref="A21:B24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">
    <i>
      <x v="2"/>
    </i>
    <i>
      <x/>
    </i>
    <i>
      <x v="1"/>
    </i>
  </rowItems>
  <colItems count="1">
    <i/>
  </colItems>
  <dataFields count="1">
    <dataField name=" Conversion Rate" fld="1" subtotal="count" baseField="0" baseItem="2"/>
  </dataFields>
  <formats count="14">
    <format dxfId="13">
      <pivotArea field="0" type="button" dataOnly="0" labelOnly="1" outline="0" axis="axisRow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outline="0" axis="axisValues" fieldPosition="0"/>
    </format>
    <format dxfId="6">
      <pivotArea field="0" type="button" dataOnly="0" labelOnly="1" outline="0" axis="axisRow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onditionalFormats count="1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 Conversion Rate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0E3CA-12E0-4F16-BBDC-C2F9304EFAB2}" name="PivotTable3" cacheId="3" applyNumberFormats="0" applyBorderFormats="0" applyFontFormats="0" applyPatternFormats="0" applyAlignmentFormats="0" applyWidthHeightFormats="1" dataCaption="Values" tag="2ee63297-a0ca-4803-bf84-110de2bec161" updatedVersion="8" minRefreshableVersion="3" useAutoFormatting="1" subtotalHiddenItems="1" rowGrandTotals="0" colGrandTotals="0" itemPrintTitles="1" createdVersion="8" indent="0" outline="1" outlineData="1" multipleFieldFilters="0" chartFormat="1" rowHeaderCaption="Marketing Channel ">
  <location ref="E9:F14" firstHeaderRow="1" firstDataRow="1" firstDataCol="1"/>
  <pivotFields count="2"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1" subtotal="count" baseField="0" baseItem="0"/>
  </dataFields>
  <formats count="14">
    <format dxfId="27">
      <pivotArea field="0" type="button" dataOnly="0" labelOnly="1" outline="0" axis="axisRow" fieldPosition="0"/>
    </format>
    <format dxfId="26">
      <pivotArea dataOnly="0" labelOnly="1" outline="0" axis="axisValues" fieldPosition="0"/>
    </format>
    <format dxfId="25">
      <pivotArea field="0" type="button" dataOnly="0" labelOnly="1" outline="0" axis="axisRow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outline="0" axis="axisValues" fieldPosition="0"/>
    </format>
  </formats>
  <conditionalFormats count="2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48BAE-3035-4D0B-A557-C16333744C09}" name="PivotTable1" cacheId="2" applyNumberFormats="0" applyBorderFormats="0" applyFontFormats="0" applyPatternFormats="0" applyAlignmentFormats="0" applyWidthHeightFormats="1" dataCaption="Values" tag="8b34528b-5ded-46cb-8d51-560deabbbcb5" updatedVersion="8" minRefreshableVersion="3" useAutoFormatting="1" rowGrandTotals="0" colGrandTotals="0" itemPrintTitles="1" createdVersion="8" indent="0" outline="1" outlineData="1" multipleFieldFilters="0" chartFormat="3" rowHeaderCaption="Marketing Channel ">
  <location ref="A9:B14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/>
    </i>
    <i>
      <x v="3"/>
    </i>
    <i>
      <x v="4"/>
    </i>
  </rowItems>
  <colItems count="1">
    <i/>
  </colItems>
  <dataFields count="1">
    <dataField fld="1" subtotal="count" baseField="0" baseItem="0" numFmtId="164"/>
  </dataFields>
  <formats count="14">
    <format dxfId="41">
      <pivotArea field="0" type="button" dataOnly="0" labelOnly="1" outline="0" axis="axisRow" fieldPosition="0"/>
    </format>
    <format dxfId="40">
      <pivotArea dataOnly="0" labelOnly="1" outline="0" axis="axisValues" fieldPosition="0"/>
    </format>
    <format dxfId="39">
      <pivotArea field="0" type="button" dataOnly="0" labelOnly="1" outline="0" axis="axisRow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outline="0" axis="axisValues" fieldPosition="0"/>
    </format>
  </formats>
  <conditionalFormats count="3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7A14D-CC75-4883-8C1E-3698D8BDB923}" name="PivotTable6" cacheId="1" applyNumberFormats="0" applyBorderFormats="0" applyFontFormats="0" applyPatternFormats="0" applyAlignmentFormats="0" applyWidthHeightFormats="1" dataCaption="Values" tag="5143cd3f-d0f5-4d34-8639-a4bd650ac6fc" updatedVersion="8" minRefreshableVersion="3" useAutoFormatting="1" subtotalHiddenItems="1" rowGrandTotals="0" colGrandTotals="0" itemPrintTitles="1" createdVersion="8" indent="0" outline="1" outlineData="1" multipleFieldFilters="0" rowHeaderCaption="Marketing Channel ">
  <location ref="E21:H26" firstHeaderRow="0" firstDataRow="1" firstDataCol="1"/>
  <pivotFields count="4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 v="4"/>
    </i>
    <i>
      <x v="1"/>
    </i>
    <i>
      <x v="2"/>
    </i>
    <i>
      <x v="3"/>
    </i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 numFmtId="164"/>
    <dataField fld="2" subtotal="count" baseField="0" baseItem="0" numFmtId="164"/>
    <dataField fld="3" subtotal="count" baseField="0" baseItem="0"/>
  </dataFields>
  <formats count="19">
    <format dxfId="6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57">
      <pivotArea field="0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">
      <pivotArea field="0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1"/>
          </reference>
          <reference field="0" count="1">
            <x v="4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8"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 Conversion Rate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0"/>
  <sheetViews>
    <sheetView showGridLines="0" tabSelected="1" workbookViewId="0">
      <selection activeCell="P25" sqref="P25"/>
    </sheetView>
  </sheetViews>
  <sheetFormatPr defaultRowHeight="15" x14ac:dyDescent="0.25"/>
  <cols>
    <col min="1" max="1" width="20.42578125" customWidth="1"/>
    <col min="2" max="2" width="16.7109375" bestFit="1" customWidth="1"/>
    <col min="5" max="5" width="20.85546875" bestFit="1" customWidth="1"/>
    <col min="6" max="6" width="14" bestFit="1" customWidth="1"/>
    <col min="7" max="7" width="14.5703125" bestFit="1" customWidth="1"/>
    <col min="8" max="8" width="9.85546875" customWidth="1"/>
  </cols>
  <sheetData>
    <row r="2" spans="1:11" x14ac:dyDescent="0.25">
      <c r="A2" s="10" t="s">
        <v>14</v>
      </c>
      <c r="B2" s="11"/>
      <c r="C2" s="11"/>
      <c r="D2" s="11"/>
      <c r="E2" s="11"/>
      <c r="F2" s="11"/>
      <c r="G2" s="11"/>
      <c r="H2" s="11"/>
      <c r="J2" s="2"/>
      <c r="K2" t="str">
        <f xml:space="preserve"> "Highest"</f>
        <v>Highest</v>
      </c>
    </row>
    <row r="3" spans="1:11" x14ac:dyDescent="0.25">
      <c r="A3" s="11"/>
      <c r="B3" s="11"/>
      <c r="C3" s="11"/>
      <c r="D3" s="11"/>
      <c r="E3" s="11"/>
      <c r="F3" s="11"/>
      <c r="G3" s="11"/>
      <c r="H3" s="11"/>
    </row>
    <row r="4" spans="1:11" x14ac:dyDescent="0.25">
      <c r="A4" s="11"/>
      <c r="B4" s="11"/>
      <c r="C4" s="11"/>
      <c r="D4" s="11"/>
      <c r="E4" s="11"/>
      <c r="F4" s="11"/>
      <c r="G4" s="11"/>
      <c r="H4" s="11"/>
      <c r="J4" s="3"/>
      <c r="K4" t="s">
        <v>15</v>
      </c>
    </row>
    <row r="8" spans="1:11" x14ac:dyDescent="0.25">
      <c r="A8" s="1"/>
      <c r="B8" s="1"/>
      <c r="C8" s="1"/>
      <c r="D8" s="1"/>
      <c r="E8" s="1"/>
      <c r="F8" s="1"/>
      <c r="G8" s="1"/>
      <c r="H8" s="1"/>
    </row>
    <row r="9" spans="1:11" x14ac:dyDescent="0.25">
      <c r="A9" s="4" t="s">
        <v>13</v>
      </c>
      <c r="B9" s="4" t="s">
        <v>5</v>
      </c>
      <c r="C9" s="1"/>
      <c r="D9" s="1"/>
      <c r="E9" s="4" t="s">
        <v>13</v>
      </c>
      <c r="F9" s="4" t="s">
        <v>6</v>
      </c>
      <c r="G9" s="1"/>
      <c r="H9" s="1"/>
    </row>
    <row r="10" spans="1:11" x14ac:dyDescent="0.25">
      <c r="A10" s="5" t="s">
        <v>1</v>
      </c>
      <c r="B10" s="6">
        <v>4492043</v>
      </c>
      <c r="C10" s="1"/>
      <c r="D10" s="1"/>
      <c r="E10" s="5" t="s">
        <v>0</v>
      </c>
      <c r="F10" s="7">
        <v>15.587565642099078</v>
      </c>
      <c r="G10" s="1"/>
      <c r="H10" s="1"/>
    </row>
    <row r="11" spans="1:11" x14ac:dyDescent="0.25">
      <c r="A11" s="5" t="s">
        <v>2</v>
      </c>
      <c r="B11" s="6">
        <v>4203851</v>
      </c>
      <c r="C11" s="1"/>
      <c r="D11" s="1"/>
      <c r="E11" s="5" t="s">
        <v>1</v>
      </c>
      <c r="F11" s="7">
        <v>6.1636345369357413</v>
      </c>
      <c r="G11" s="1"/>
      <c r="H11" s="1"/>
    </row>
    <row r="12" spans="1:11" x14ac:dyDescent="0.25">
      <c r="A12" s="5" t="s">
        <v>0</v>
      </c>
      <c r="B12" s="6">
        <v>3161872</v>
      </c>
      <c r="C12" s="1"/>
      <c r="D12" s="1"/>
      <c r="E12" s="5" t="s">
        <v>2</v>
      </c>
      <c r="F12" s="7">
        <v>5.7516124783985711</v>
      </c>
      <c r="G12" s="1"/>
      <c r="H12" s="1"/>
    </row>
    <row r="13" spans="1:11" x14ac:dyDescent="0.25">
      <c r="A13" s="5" t="s">
        <v>3</v>
      </c>
      <c r="B13" s="6">
        <v>2708721</v>
      </c>
      <c r="C13" s="1"/>
      <c r="D13" s="1"/>
      <c r="E13" s="5" t="s">
        <v>3</v>
      </c>
      <c r="F13" s="7">
        <v>5.1145633697897264</v>
      </c>
      <c r="G13" s="1"/>
      <c r="H13" s="1"/>
    </row>
    <row r="14" spans="1:11" x14ac:dyDescent="0.25">
      <c r="A14" s="5" t="s">
        <v>4</v>
      </c>
      <c r="B14" s="6">
        <v>1987503</v>
      </c>
      <c r="C14" s="1"/>
      <c r="D14" s="1"/>
      <c r="E14" s="5" t="s">
        <v>4</v>
      </c>
      <c r="F14" s="7">
        <v>1.2796413140348846</v>
      </c>
      <c r="G14" s="1"/>
      <c r="H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4" t="s">
        <v>12</v>
      </c>
      <c r="B21" s="4" t="s">
        <v>10</v>
      </c>
      <c r="C21" s="1"/>
      <c r="D21" s="1"/>
      <c r="E21" s="4" t="s">
        <v>13</v>
      </c>
      <c r="F21" s="4" t="s">
        <v>5</v>
      </c>
      <c r="G21" s="4" t="s">
        <v>11</v>
      </c>
      <c r="H21" s="4" t="s">
        <v>6</v>
      </c>
    </row>
    <row r="22" spans="1:8" x14ac:dyDescent="0.25">
      <c r="A22" s="5" t="s">
        <v>9</v>
      </c>
      <c r="B22" s="8">
        <v>0.18395090053917632</v>
      </c>
      <c r="C22" s="1"/>
      <c r="D22" s="1"/>
      <c r="E22" s="5" t="s">
        <v>4</v>
      </c>
      <c r="F22" s="6">
        <v>1987503</v>
      </c>
      <c r="G22" s="6">
        <v>871849</v>
      </c>
      <c r="H22" s="7">
        <v>1.2796413140348846</v>
      </c>
    </row>
    <row r="23" spans="1:8" x14ac:dyDescent="0.25">
      <c r="A23" s="5" t="s">
        <v>7</v>
      </c>
      <c r="B23" s="8">
        <v>0.1774443141852286</v>
      </c>
      <c r="C23" s="1"/>
      <c r="D23" s="1"/>
      <c r="E23" s="5" t="s">
        <v>1</v>
      </c>
      <c r="F23" s="6">
        <v>4492043</v>
      </c>
      <c r="G23" s="6">
        <v>627062</v>
      </c>
      <c r="H23" s="7">
        <v>6.1636345369357413</v>
      </c>
    </row>
    <row r="24" spans="1:8" x14ac:dyDescent="0.25">
      <c r="A24" s="5" t="s">
        <v>8</v>
      </c>
      <c r="B24" s="8">
        <v>0.17162954279015241</v>
      </c>
      <c r="C24" s="1"/>
      <c r="D24" s="1"/>
      <c r="E24" s="5" t="s">
        <v>2</v>
      </c>
      <c r="F24" s="6">
        <v>4203851</v>
      </c>
      <c r="G24" s="6">
        <v>622644</v>
      </c>
      <c r="H24" s="7">
        <v>5.7516124783985711</v>
      </c>
    </row>
    <row r="25" spans="1:8" x14ac:dyDescent="0.25">
      <c r="A25" s="1"/>
      <c r="B25" s="1"/>
      <c r="C25" s="1"/>
      <c r="D25" s="1"/>
      <c r="E25" s="5" t="s">
        <v>3</v>
      </c>
      <c r="F25" s="6">
        <v>2708721</v>
      </c>
      <c r="G25" s="6">
        <v>442995</v>
      </c>
      <c r="H25" s="7">
        <v>5.1145633697897264</v>
      </c>
    </row>
    <row r="26" spans="1:8" x14ac:dyDescent="0.25">
      <c r="A26" s="1"/>
      <c r="B26" s="1"/>
      <c r="C26" s="1"/>
      <c r="D26" s="1"/>
      <c r="E26" s="5" t="s">
        <v>0</v>
      </c>
      <c r="F26" s="6">
        <v>3161872</v>
      </c>
      <c r="G26" s="6">
        <v>190617</v>
      </c>
      <c r="H26" s="7">
        <v>15.587565642099078</v>
      </c>
    </row>
    <row r="30" spans="1:8" ht="45.75" customHeight="1" x14ac:dyDescent="0.25">
      <c r="E30" s="9" t="s">
        <v>16</v>
      </c>
      <c r="F30" s="9"/>
      <c r="G30" s="9"/>
      <c r="H30" s="9"/>
    </row>
  </sheetData>
  <mergeCells count="2">
    <mergeCell ref="A2:H4"/>
    <mergeCell ref="E30:H30"/>
  </mergeCells>
  <conditionalFormatting pivot="1" sqref="F22:F26">
    <cfRule type="colorScale" priority="17">
      <colorScale>
        <cfvo type="min"/>
        <cfvo type="percentile" val="50"/>
        <cfvo type="max"/>
        <color theme="7" tint="0.59999389629810485"/>
        <color rgb="FFFFEB84"/>
        <color theme="7" tint="-0.499984740745262"/>
      </colorScale>
    </cfRule>
  </conditionalFormatting>
  <conditionalFormatting pivot="1" sqref="F22:F26">
    <cfRule type="colorScale" priority="16">
      <colorScale>
        <cfvo type="min"/>
        <cfvo type="percentile" val="60"/>
        <cfvo type="max"/>
        <color theme="7" tint="0.79998168889431442"/>
        <color theme="7" tint="0.39997558519241921"/>
        <color theme="7" tint="-0.499984740745262"/>
      </colorScale>
    </cfRule>
  </conditionalFormatting>
  <conditionalFormatting pivot="1" sqref="H22:H26">
    <cfRule type="colorScale" priority="15">
      <colorScale>
        <cfvo type="min"/>
        <cfvo type="percentile" val="60"/>
        <cfvo type="max"/>
        <color theme="7" tint="0.79998168889431442"/>
        <color theme="7" tint="0.39997558519241921"/>
        <color theme="7" tint="-0.499984740745262"/>
      </colorScale>
    </cfRule>
  </conditionalFormatting>
  <conditionalFormatting pivot="1" sqref="F22:F26">
    <cfRule type="colorScale" priority="11">
      <colorScale>
        <cfvo type="min"/>
        <cfvo type="percentile" val="6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G22:G26">
    <cfRule type="colorScale" priority="10">
      <colorScale>
        <cfvo type="min"/>
        <cfvo type="percentile" val="50"/>
        <cfvo type="max"/>
        <color theme="7" tint="0.59999389629810485"/>
        <color rgb="FFFFEB84"/>
        <color theme="7" tint="-0.499984740745262"/>
      </colorScale>
    </cfRule>
  </conditionalFormatting>
  <conditionalFormatting pivot="1" sqref="G22:G26">
    <cfRule type="colorScale" priority="9">
      <colorScale>
        <cfvo type="min"/>
        <cfvo type="percentile" val="60"/>
        <cfvo type="max"/>
        <color theme="7" tint="0.79998168889431442"/>
        <color theme="7" tint="0.39997558519241921"/>
        <color theme="7" tint="-0.499984740745262"/>
      </colorScale>
    </cfRule>
  </conditionalFormatting>
  <conditionalFormatting pivot="1" sqref="G22:G26">
    <cfRule type="colorScale" priority="8">
      <colorScale>
        <cfvo type="min"/>
        <cfvo type="percentile" val="6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H22:H26">
    <cfRule type="colorScale" priority="7">
      <colorScale>
        <cfvo type="min"/>
        <cfvo type="percentile" val="6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B22:B24">
    <cfRule type="colorScale" priority="6">
      <colorScale>
        <cfvo type="min"/>
        <cfvo type="percentile" val="6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F10:F14">
    <cfRule type="colorScale" priority="5">
      <colorScale>
        <cfvo type="min"/>
        <cfvo type="percentile" val="60"/>
        <cfvo type="max"/>
        <color theme="7" tint="0.79998168889431442"/>
        <color theme="7" tint="0.39997558519241921"/>
        <color theme="7" tint="-0.499984740745262"/>
      </colorScale>
    </cfRule>
  </conditionalFormatting>
  <conditionalFormatting pivot="1" sqref="F10:F14">
    <cfRule type="colorScale" priority="4">
      <colorScale>
        <cfvo type="min"/>
        <cfvo type="percentile" val="6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B10:B14">
    <cfRule type="colorScale" priority="3">
      <colorScale>
        <cfvo type="min"/>
        <cfvo type="percentile" val="50"/>
        <cfvo type="max"/>
        <color theme="7" tint="0.59999389629810485"/>
        <color rgb="FFFFEB84"/>
        <color theme="7" tint="-0.499984740745262"/>
      </colorScale>
    </cfRule>
  </conditionalFormatting>
  <conditionalFormatting pivot="1" sqref="B10:B14">
    <cfRule type="colorScale" priority="2">
      <colorScale>
        <cfvo type="min"/>
        <cfvo type="percentile" val="60"/>
        <cfvo type="max"/>
        <color theme="7" tint="0.79998168889431442"/>
        <color theme="7" tint="0.39997558519241921"/>
        <color theme="7" tint="-0.499984740745262"/>
      </colorScale>
    </cfRule>
  </conditionalFormatting>
  <conditionalFormatting pivot="1" sqref="B10:B14">
    <cfRule type="colorScale" priority="1">
      <colorScale>
        <cfvo type="min"/>
        <cfvo type="percentile" val="60"/>
        <cfvo type="max"/>
        <color theme="7" tint="0.79998168889431442"/>
        <color theme="7" tint="0.39997558519241921"/>
        <color theme="7" tint="-0.249977111117893"/>
      </colorScale>
    </cfRule>
  </conditionalFormatting>
  <pageMargins left="0.7" right="0.7" top="0.75" bottom="0.75" header="0.3" footer="0.3"/>
  <pageSetup paperSize="9" orientation="portrait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6260204-E1DA-4E27-8A28-98DF74412E78}">
  <ds:schemaRefs/>
</ds:datastoreItem>
</file>

<file path=customXml/itemProps2.xml><?xml version="1.0" encoding="utf-8"?>
<ds:datastoreItem xmlns:ds="http://schemas.openxmlformats.org/officeDocument/2006/customXml" ds:itemID="{BD538B36-4DCE-4BED-AF2F-39F0C7FB056C}">
  <ds:schemaRefs/>
</ds:datastoreItem>
</file>

<file path=customXml/itemProps3.xml><?xml version="1.0" encoding="utf-8"?>
<ds:datastoreItem xmlns:ds="http://schemas.openxmlformats.org/officeDocument/2006/customXml" ds:itemID="{BE159F76-F65C-46CA-B6B3-29AB5BC0ABFA}">
  <ds:schemaRefs/>
</ds:datastoreItem>
</file>

<file path=customXml/itemProps4.xml><?xml version="1.0" encoding="utf-8"?>
<ds:datastoreItem xmlns:ds="http://schemas.openxmlformats.org/officeDocument/2006/customXml" ds:itemID="{82423530-1250-4873-BFC4-0A52E4D5C209}">
  <ds:schemaRefs/>
</ds:datastoreItem>
</file>

<file path=customXml/itemProps5.xml><?xml version="1.0" encoding="utf-8"?>
<ds:datastoreItem xmlns:ds="http://schemas.openxmlformats.org/officeDocument/2006/customXml" ds:itemID="{1F228664-6EBB-4D0B-AFEF-B113145DD353}">
  <ds:schemaRefs/>
</ds:datastoreItem>
</file>

<file path=customXml/itemProps6.xml><?xml version="1.0" encoding="utf-8"?>
<ds:datastoreItem xmlns:ds="http://schemas.openxmlformats.org/officeDocument/2006/customXml" ds:itemID="{7A92D026-1FB2-4018-B1C3-0B12309FE48B}">
  <ds:schemaRefs/>
</ds:datastoreItem>
</file>

<file path=customXml/itemProps7.xml><?xml version="1.0" encoding="utf-8"?>
<ds:datastoreItem xmlns:ds="http://schemas.openxmlformats.org/officeDocument/2006/customXml" ds:itemID="{424AEFE6-8209-4C5D-ACC8-006AC4DCEFA3}">
  <ds:schemaRefs/>
</ds:datastoreItem>
</file>

<file path=customXml/itemProps8.xml><?xml version="1.0" encoding="utf-8"?>
<ds:datastoreItem xmlns:ds="http://schemas.openxmlformats.org/officeDocument/2006/customXml" ds:itemID="{3DAAEF3F-6D9F-4EC7-A7B0-5E3B6B7FC4E7}">
  <ds:schemaRefs/>
</ds:datastoreItem>
</file>

<file path=customXml/itemProps9.xml><?xml version="1.0" encoding="utf-8"?>
<ds:datastoreItem xmlns:ds="http://schemas.openxmlformats.org/officeDocument/2006/customXml" ds:itemID="{27BF0915-4A04-4A2E-98BA-CAE9DE2DFB1F}">
  <ds:schemaRefs/>
</ds:datastoreItem>
</file>

<file path=customXml/itemProps10.xml><?xml version="1.0" encoding="utf-8"?>
<ds:datastoreItem xmlns:ds="http://schemas.openxmlformats.org/officeDocument/2006/customXml" ds:itemID="{FAB1FB3A-0379-4039-A955-65F9829A8049}">
  <ds:schemaRefs/>
</ds:datastoreItem>
</file>

<file path=customXml/itemProps11.xml><?xml version="1.0" encoding="utf-8"?>
<ds:datastoreItem xmlns:ds="http://schemas.openxmlformats.org/officeDocument/2006/customXml" ds:itemID="{2CBC685B-B72D-4DC4-98E0-141AAF274C33}">
  <ds:schemaRefs/>
</ds:datastoreItem>
</file>

<file path=customXml/itemProps12.xml><?xml version="1.0" encoding="utf-8"?>
<ds:datastoreItem xmlns:ds="http://schemas.openxmlformats.org/officeDocument/2006/customXml" ds:itemID="{E43D7422-3DD0-4743-86CA-D74939A1A70F}">
  <ds:schemaRefs/>
</ds:datastoreItem>
</file>

<file path=customXml/itemProps13.xml><?xml version="1.0" encoding="utf-8"?>
<ds:datastoreItem xmlns:ds="http://schemas.openxmlformats.org/officeDocument/2006/customXml" ds:itemID="{2B73F98D-9BB5-4BE1-AD20-A26C92656782}">
  <ds:schemaRefs/>
</ds:datastoreItem>
</file>

<file path=customXml/itemProps14.xml><?xml version="1.0" encoding="utf-8"?>
<ds:datastoreItem xmlns:ds="http://schemas.openxmlformats.org/officeDocument/2006/customXml" ds:itemID="{195C303E-D03C-4856-82B8-5943DA5BEC30}">
  <ds:schemaRefs/>
</ds:datastoreItem>
</file>

<file path=customXml/itemProps15.xml><?xml version="1.0" encoding="utf-8"?>
<ds:datastoreItem xmlns:ds="http://schemas.openxmlformats.org/officeDocument/2006/customXml" ds:itemID="{6D0C3AFD-09CF-4D6B-A8D0-9585DC448FC9}">
  <ds:schemaRefs/>
</ds:datastoreItem>
</file>

<file path=customXml/itemProps16.xml><?xml version="1.0" encoding="utf-8"?>
<ds:datastoreItem xmlns:ds="http://schemas.openxmlformats.org/officeDocument/2006/customXml" ds:itemID="{8F477962-3A98-40C6-8824-DDF0B5836A53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792444A8-91CE-49DE-BE83-32014246A9F5}">
  <ds:schemaRefs/>
</ds:datastoreItem>
</file>

<file path=customXml/itemProps18.xml><?xml version="1.0" encoding="utf-8"?>
<ds:datastoreItem xmlns:ds="http://schemas.openxmlformats.org/officeDocument/2006/customXml" ds:itemID="{C821505C-F084-46D5-8C9B-5D3AB8691432}">
  <ds:schemaRefs/>
</ds:datastoreItem>
</file>

<file path=customXml/itemProps19.xml><?xml version="1.0" encoding="utf-8"?>
<ds:datastoreItem xmlns:ds="http://schemas.openxmlformats.org/officeDocument/2006/customXml" ds:itemID="{C14E93AF-81F3-4C3B-8F54-DF1A0F6237F2}">
  <ds:schemaRefs/>
</ds:datastoreItem>
</file>

<file path=customXml/itemProps20.xml><?xml version="1.0" encoding="utf-8"?>
<ds:datastoreItem xmlns:ds="http://schemas.openxmlformats.org/officeDocument/2006/customXml" ds:itemID="{066EDCC1-E57E-45D3-8EB1-55937F2F7769}">
  <ds:schemaRefs/>
</ds:datastoreItem>
</file>

<file path=customXml/itemProps21.xml><?xml version="1.0" encoding="utf-8"?>
<ds:datastoreItem xmlns:ds="http://schemas.openxmlformats.org/officeDocument/2006/customXml" ds:itemID="{6A4B81E9-A4A4-426C-979F-6341F186B9DE}">
  <ds:schemaRefs/>
</ds:datastoreItem>
</file>

<file path=customXml/itemProps22.xml><?xml version="1.0" encoding="utf-8"?>
<ds:datastoreItem xmlns:ds="http://schemas.openxmlformats.org/officeDocument/2006/customXml" ds:itemID="{4B67D060-790C-4BA7-968D-F6E4A98FD557}">
  <ds:schemaRefs/>
</ds:datastoreItem>
</file>

<file path=customXml/itemProps23.xml><?xml version="1.0" encoding="utf-8"?>
<ds:datastoreItem xmlns:ds="http://schemas.openxmlformats.org/officeDocument/2006/customXml" ds:itemID="{1286D1D3-08DA-467C-B941-2C187AF71A6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4</dc:creator>
  <cp:lastModifiedBy>Marketing4 Xtreme</cp:lastModifiedBy>
  <dcterms:created xsi:type="dcterms:W3CDTF">2015-06-05T18:17:20Z</dcterms:created>
  <dcterms:modified xsi:type="dcterms:W3CDTF">2026-03-18T08:36:02Z</dcterms:modified>
</cp:coreProperties>
</file>